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241fd7f14c96af/Documents/Data Analyst Portfolio/Actuarial Reserving Model/"/>
    </mc:Choice>
  </mc:AlternateContent>
  <xr:revisionPtr revIDLastSave="99" documentId="11_2B59D2BFD3B0DC88AF8D9C52491510344D078CAB" xr6:coauthVersionLast="47" xr6:coauthVersionMax="47" xr10:uidLastSave="{E1FDC368-44DA-402D-A090-9299F14014B5}"/>
  <bookViews>
    <workbookView xWindow="-120" yWindow="-120" windowWidth="23280" windowHeight="14880" activeTab="1" xr2:uid="{00000000-000D-0000-FFFF-FFFF00000000}"/>
  </bookViews>
  <sheets>
    <sheet name="Raw Data" sheetId="1" r:id="rId1"/>
    <sheet name="Reserve Analysis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7" i="2" s="1"/>
  <c r="B3" i="2"/>
  <c r="B2" i="2"/>
</calcChain>
</file>

<file path=xl/sharedStrings.xml><?xml version="1.0" encoding="utf-8"?>
<sst xmlns="http://schemas.openxmlformats.org/spreadsheetml/2006/main" count="17" uniqueCount="17">
  <si>
    <t>Accident_Year</t>
  </si>
  <si>
    <t>Paid_12</t>
  </si>
  <si>
    <t>Paid_24</t>
  </si>
  <si>
    <t>Paid_36</t>
  </si>
  <si>
    <t>Development Factor 12-&gt;24</t>
  </si>
  <si>
    <t xml:space="preserve"> Development Factor 24-&gt;36</t>
  </si>
  <si>
    <t>Combined Factor</t>
  </si>
  <si>
    <t>Ultimate Loss Estimate</t>
  </si>
  <si>
    <t>Current Paid Loss</t>
  </si>
  <si>
    <t>Required Reserve</t>
  </si>
  <si>
    <t>Metric</t>
  </si>
  <si>
    <t>Result</t>
  </si>
  <si>
    <t>Row Labels</t>
  </si>
  <si>
    <t>Grand Total</t>
  </si>
  <si>
    <t>Sum of Paid_12</t>
  </si>
  <si>
    <t>Sum of Paid_24</t>
  </si>
  <si>
    <t>Sum of Paid_36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</si>
</sst>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1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[actuarial_reserving_model.xlsx]Reserve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Development by Accident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'Reserve Analysis'!$B$10</c:f>
              <c:strCache>
                <c:ptCount val="1"/>
                <c:pt idx="0">
                  <c:v>Sum of Paid_12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'Reserve Analysis'!$A$11:$A$14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'Reserve Analysis'!$B$11:$B$14</c:f>
              <c:numCache>
                <c:formatCode>General</c:formatCode>
                <c:ptCount val="3"/>
                <c:pt idx="0">
                  <c:v>100000</c:v>
                </c:pt>
                <c:pt idx="1">
                  <c:v>120000</c:v>
                </c:pt>
                <c:pt idx="2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3-464A-B080-ED100D949A11}"/>
            </c:ext>
          </c:extLst>
        </c:ser>
        <c:ser>
          <c:idx val="1"/>
          <c:order val="1"/>
          <c:tx>
            <c:strRef>
              <c:f>'Reserve Analysis'!$C$10</c:f>
              <c:strCache>
                <c:ptCount val="1"/>
                <c:pt idx="0">
                  <c:v>Sum of Paid_24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'Reserve Analysis'!$A$11:$A$14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'Reserve Analysis'!$C$11:$C$14</c:f>
              <c:numCache>
                <c:formatCode>General</c:formatCode>
                <c:ptCount val="3"/>
                <c:pt idx="0">
                  <c:v>130000</c:v>
                </c:pt>
                <c:pt idx="1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3-464A-B080-ED100D949A11}"/>
            </c:ext>
          </c:extLst>
        </c:ser>
        <c:ser>
          <c:idx val="2"/>
          <c:order val="2"/>
          <c:tx>
            <c:strRef>
              <c:f>'Reserve Analysis'!$D$10</c:f>
              <c:strCache>
                <c:ptCount val="1"/>
                <c:pt idx="0">
                  <c:v>Sum of Paid_36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'Reserve Analysis'!$A$11:$A$14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'Reserve Analysis'!$D$11:$D$14</c:f>
              <c:numCache>
                <c:formatCode>General</c:formatCode>
                <c:ptCount val="3"/>
                <c:pt idx="0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3-464A-B080-ED100D949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048976"/>
        <c:axId val="1632057616"/>
      </c:barChart>
      <c:catAx>
        <c:axId val="16320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057616"/>
        <c:crosses val="autoZero"/>
        <c:auto val="1"/>
        <c:lblAlgn val="ctr"/>
        <c:lblOffset val="100"/>
        <c:noMultiLvlLbl val="0"/>
      </c:catAx>
      <c:valAx>
        <c:axId val="16320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04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14287</xdr:rowOff>
    </xdr:from>
    <xdr:to>
      <xdr:col>5</xdr:col>
      <xdr:colOff>171450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AC87C-20EB-1D22-F0CE-B37F4BE0B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86.492738657405" createdVersion="8" refreshedVersion="8" minRefreshableVersion="3" recordCount="3" xr:uid="{820F6EB6-0589-481D-A3DC-8EE9A898D9E3}">
  <cacheSource type="worksheet">
    <worksheetSource ref="A1:D4" sheet="Raw Data"/>
  </cacheSource>
  <cacheFields count="4">
    <cacheField name="Accident_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Paid_12" numFmtId="0">
      <sharedItems containsSemiMixedTypes="0" containsString="0" containsNumber="1" containsInteger="1" minValue="100000" maxValue="140000"/>
    </cacheField>
    <cacheField name="Paid_24" numFmtId="0">
      <sharedItems containsString="0" containsBlank="1" containsNumber="1" containsInteger="1" minValue="130000" maxValue="150000"/>
    </cacheField>
    <cacheField name="Paid_36" numFmtId="0">
      <sharedItems containsString="0" containsBlank="1" containsNumber="1" containsInteger="1" minValue="140000" maxValue="1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0000"/>
    <n v="130000"/>
    <n v="140000"/>
  </r>
  <r>
    <x v="1"/>
    <n v="120000"/>
    <n v="150000"/>
    <m/>
  </r>
  <r>
    <x v="2"/>
    <n v="1400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6E26F-F4B7-4CD0-B15C-0564D9D6285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:D14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aid_12" fld="1" baseField="0" baseItem="0"/>
    <dataField name="Sum of Paid_24" fld="2" baseField="0" baseItem="0"/>
    <dataField name="Sum of Paid_36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G12" sqref="G12"/>
    </sheetView>
  </sheetViews>
  <sheetFormatPr defaultRowHeight="15" x14ac:dyDescent="0.25"/>
  <cols>
    <col min="1" max="1" width="26.42578125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5">
        <v>2021</v>
      </c>
      <c r="B2" s="4">
        <v>100000</v>
      </c>
      <c r="C2" s="4">
        <v>130000</v>
      </c>
      <c r="D2" s="4">
        <v>140000</v>
      </c>
    </row>
    <row r="3" spans="1:4" x14ac:dyDescent="0.25">
      <c r="A3" s="5">
        <v>2022</v>
      </c>
      <c r="B3" s="4">
        <v>120000</v>
      </c>
      <c r="C3" s="4">
        <v>150000</v>
      </c>
      <c r="D3" s="4"/>
    </row>
    <row r="4" spans="1:4" x14ac:dyDescent="0.25">
      <c r="A4" s="5">
        <v>2023</v>
      </c>
      <c r="B4" s="4">
        <v>140000</v>
      </c>
      <c r="C4" s="4"/>
      <c r="D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4E08-FF18-424D-9A28-125503671D69}">
  <dimension ref="A1:D14"/>
  <sheetViews>
    <sheetView tabSelected="1" workbookViewId="0">
      <selection activeCell="G19" sqref="G19"/>
    </sheetView>
  </sheetViews>
  <sheetFormatPr defaultRowHeight="15" x14ac:dyDescent="0.25"/>
  <cols>
    <col min="1" max="1" width="13.140625" bestFit="1" customWidth="1"/>
    <col min="2" max="4" width="14.5703125" bestFit="1" customWidth="1"/>
  </cols>
  <sheetData>
    <row r="1" spans="1:4" x14ac:dyDescent="0.25">
      <c r="A1" s="6" t="s">
        <v>10</v>
      </c>
      <c r="B1" s="6" t="s">
        <v>11</v>
      </c>
    </row>
    <row r="2" spans="1:4" x14ac:dyDescent="0.25">
      <c r="A2" s="5" t="s">
        <v>4</v>
      </c>
      <c r="B2" s="2">
        <f>130000/100000</f>
        <v>1.3</v>
      </c>
    </row>
    <row r="3" spans="1:4" x14ac:dyDescent="0.25">
      <c r="A3" s="5" t="s">
        <v>5</v>
      </c>
      <c r="B3" s="2">
        <f>140000/130000</f>
        <v>1.0769230769230769</v>
      </c>
    </row>
    <row r="4" spans="1:4" x14ac:dyDescent="0.25">
      <c r="A4" s="5" t="s">
        <v>6</v>
      </c>
      <c r="B4" s="1">
        <f>1.3*1.08</f>
        <v>1.4040000000000001</v>
      </c>
    </row>
    <row r="5" spans="1:4" x14ac:dyDescent="0.25">
      <c r="A5" s="5" t="s">
        <v>7</v>
      </c>
      <c r="B5" s="3">
        <f>140000*B4</f>
        <v>196560.00000000003</v>
      </c>
    </row>
    <row r="6" spans="1:4" x14ac:dyDescent="0.25">
      <c r="A6" s="5" t="s">
        <v>8</v>
      </c>
      <c r="B6" s="3">
        <v>140000</v>
      </c>
    </row>
    <row r="7" spans="1:4" x14ac:dyDescent="0.25">
      <c r="A7" s="5" t="s">
        <v>9</v>
      </c>
      <c r="B7" s="3">
        <f>B5-B6</f>
        <v>56560.000000000029</v>
      </c>
    </row>
    <row r="10" spans="1:4" x14ac:dyDescent="0.25">
      <c r="A10" s="7" t="s">
        <v>12</v>
      </c>
      <c r="B10" t="s">
        <v>14</v>
      </c>
      <c r="C10" t="s">
        <v>15</v>
      </c>
      <c r="D10" t="s">
        <v>16</v>
      </c>
    </row>
    <row r="11" spans="1:4" x14ac:dyDescent="0.25">
      <c r="A11" s="8">
        <v>2021</v>
      </c>
      <c r="B11" s="9">
        <v>100000</v>
      </c>
      <c r="C11" s="9">
        <v>130000</v>
      </c>
      <c r="D11" s="9">
        <v>140000</v>
      </c>
    </row>
    <row r="12" spans="1:4" x14ac:dyDescent="0.25">
      <c r="A12" s="8">
        <v>2022</v>
      </c>
      <c r="B12" s="9">
        <v>120000</v>
      </c>
      <c r="C12" s="9">
        <v>150000</v>
      </c>
      <c r="D12" s="9"/>
    </row>
    <row r="13" spans="1:4" x14ac:dyDescent="0.25">
      <c r="A13" s="8">
        <v>2023</v>
      </c>
      <c r="B13" s="9">
        <v>140000</v>
      </c>
      <c r="C13" s="9"/>
      <c r="D13" s="9"/>
    </row>
    <row r="14" spans="1:4" x14ac:dyDescent="0.25">
      <c r="A14" s="8" t="s">
        <v>13</v>
      </c>
      <c r="B14" s="9">
        <v>360000</v>
      </c>
      <c r="C14" s="9">
        <v>280000</v>
      </c>
      <c r="D14" s="9">
        <v>140000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Reserve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 Bangoura</cp:lastModifiedBy>
  <dcterms:created xsi:type="dcterms:W3CDTF">2026-06-13T15:31:10Z</dcterms:created>
  <dcterms:modified xsi:type="dcterms:W3CDTF">2026-06-13T15:56:58Z</dcterms:modified>
</cp:coreProperties>
</file>